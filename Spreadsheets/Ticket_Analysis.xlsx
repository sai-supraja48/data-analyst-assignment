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b7363b4a4622e7/Desktop/Data_Analyst_Assignment/Spreadsheets/"/>
    </mc:Choice>
  </mc:AlternateContent>
  <xr:revisionPtr revIDLastSave="121" documentId="8_{B654DB96-57D2-4707-9A4C-294B8D175087}" xr6:coauthVersionLast="47" xr6:coauthVersionMax="47" xr10:uidLastSave="{CF9E6379-69C1-48E2-AC42-5523BB63744A}"/>
  <bookViews>
    <workbookView xWindow="-108" yWindow="-108" windowWidth="23256" windowHeight="12456" xr2:uid="{8465B153-3203-47DF-B8F7-59C06250DC01}"/>
  </bookViews>
  <sheets>
    <sheet name="Sheet2" sheetId="6" r:id="rId1"/>
    <sheet name="ticket" sheetId="1" r:id="rId2"/>
    <sheet name="feedbacks" sheetId="2" r:id="rId3"/>
  </sheets>
  <definedNames>
    <definedName name="_xlcn.WorksheetConnection_ticketA1G51" hidden="1">ticket!$A$1:$G$5</definedName>
  </definedName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icket!$A$1:$G$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  <c r="D5" i="2"/>
  <c r="D3" i="2"/>
  <c r="D4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426D7-BF1D-4BEE-AF77-F75A70A170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EDE7506-22DA-4676-A32A-E2EE9CCBC928}" name="WorksheetConnection_ticket!$A$1:$G$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icketA1G51"/>
        </x15:connection>
      </ext>
    </extLst>
  </connection>
</connections>
</file>

<file path=xl/sharedStrings.xml><?xml version="1.0" encoding="utf-8"?>
<sst xmlns="http://schemas.openxmlformats.org/spreadsheetml/2006/main" count="33" uniqueCount="24">
  <si>
    <t>ticket_id</t>
  </si>
  <si>
    <t>t1</t>
  </si>
  <si>
    <t>t2</t>
  </si>
  <si>
    <t>t3</t>
  </si>
  <si>
    <t>t4</t>
  </si>
  <si>
    <t>created_at</t>
  </si>
  <si>
    <t>cosed_at</t>
  </si>
  <si>
    <t>outlet_id</t>
  </si>
  <si>
    <t>cms_id</t>
  </si>
  <si>
    <t>same_day</t>
  </si>
  <si>
    <t>same_hour</t>
  </si>
  <si>
    <t>o1</t>
  </si>
  <si>
    <t>o2</t>
  </si>
  <si>
    <t>c1</t>
  </si>
  <si>
    <t>c2</t>
  </si>
  <si>
    <t>c3</t>
  </si>
  <si>
    <t>c4</t>
  </si>
  <si>
    <t>feedback_at</t>
  </si>
  <si>
    <t>feedback_rating</t>
  </si>
  <si>
    <t>ticket_created_at</t>
  </si>
  <si>
    <t>Row Labels</t>
  </si>
  <si>
    <t>Grand Total</t>
  </si>
  <si>
    <t>Sum of same_day</t>
  </si>
  <si>
    <t>Sum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</si>
</sst>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i Supraja Annam" refreshedDate="46121.606580324071" backgroundQuery="1" createdVersion="8" refreshedVersion="8" minRefreshableVersion="3" recordCount="0" supportSubquery="1" supportAdvancedDrill="1" xr:uid="{B7A9E2EF-9CCD-40E3-AA47-1EA5DD627137}">
  <cacheSource type="external" connectionId="1"/>
  <cacheFields count="3">
    <cacheField name="[Range].[outlet_id].[outlet_id]" caption="outlet_id" numFmtId="0" hierarchy="3" level="1">
      <sharedItems count="2">
        <s v="o1"/>
        <s v="o2"/>
      </sharedItems>
    </cacheField>
    <cacheField name="[Measures].[Sum of same_day]" caption="Sum of same_day" numFmtId="0" hierarchy="9" level="32767"/>
    <cacheField name="[Measures].[Sum of same_hour]" caption="Sum of same_hour" numFmtId="0" hierarchy="10" level="32767"/>
  </cacheFields>
  <cacheHierarchies count="11">
    <cacheHierarchy uniqueName="[Range].[ticket_id]" caption="ticket_id" attribute="1" defaultMemberUniqueName="[Range].[ticket_id].[All]" allUniqueName="[Range].[ticket_id].[All]" dimensionUniqueName="[Range]" displayFolder="" count="0" memberValueDatatype="130" unbalanced="0"/>
    <cacheHierarchy uniqueName="[Range].[created_at]" caption="created_at" attribute="1" time="1" defaultMemberUniqueName="[Range].[created_at].[All]" allUniqueName="[Range].[created_at].[All]" dimensionUniqueName="[Range]" displayFolder="" count="0" memberValueDatatype="7" unbalanced="0"/>
    <cacheHierarchy uniqueName="[Range].[cosed_at]" caption="cosed_at" attribute="1" time="1" defaultMemberUniqueName="[Range].[cosed_at].[All]" allUniqueName="[Range].[cosed_at].[All]" dimensionUniqueName="[Range]" displayFolder="" count="0" memberValueDatatype="7" unbalanced="0"/>
    <cacheHierarchy uniqueName="[Range].[outlet_id]" caption="outlet_id" attribute="1" defaultMemberUniqueName="[Range].[outlet_id].[All]" allUniqueName="[Range].[outlet_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ms_id]" caption="cms_id" attribute="1" defaultMemberUniqueName="[Range].[cms_id].[All]" allUniqueName="[Range].[cms_id].[All]" dimensionUniqueName="[Range]" displayFolder="" count="0" memberValueDatatype="130" unbalanced="0"/>
    <cacheHierarchy uniqueName="[Range].[same_day]" caption="same_day" attribute="1" defaultMemberUniqueName="[Range].[same_day].[All]" allUniqueName="[Range].[same_day].[All]" dimensionUniqueName="[Range]" displayFolder="" count="0" memberValueDatatype="20" unbalanced="0"/>
    <cacheHierarchy uniqueName="[Range].[same_hour]" caption="same_hour" attribute="1" defaultMemberUniqueName="[Range].[same_hour].[All]" allUniqueName="[Range].[same_hou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me_day]" caption="Sum of same_da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me_hour]" caption="Sum of same_hou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14981-20CE-4C8B-9197-3B2245A4739C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" fld="1" baseField="0" baseItem="0"/>
    <dataField name="Sum of same_hour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icket!$A$1:$G$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3917-CCF8-4E59-BF4A-033E00107B64}">
  <dimension ref="A3:C6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16.109375" bestFit="1" customWidth="1"/>
  </cols>
  <sheetData>
    <row r="3" spans="1:3" x14ac:dyDescent="0.3">
      <c r="A3" s="3" t="s">
        <v>20</v>
      </c>
      <c r="B3" t="s">
        <v>22</v>
      </c>
      <c r="C3" t="s">
        <v>23</v>
      </c>
    </row>
    <row r="4" spans="1:3" x14ac:dyDescent="0.3">
      <c r="A4" s="4" t="s">
        <v>11</v>
      </c>
      <c r="B4" s="5">
        <v>1</v>
      </c>
      <c r="C4" s="5">
        <v>0</v>
      </c>
    </row>
    <row r="5" spans="1:3" x14ac:dyDescent="0.3">
      <c r="A5" s="4" t="s">
        <v>12</v>
      </c>
      <c r="B5" s="5">
        <v>1</v>
      </c>
      <c r="C5" s="5">
        <v>0</v>
      </c>
    </row>
    <row r="6" spans="1:3" x14ac:dyDescent="0.3">
      <c r="A6" s="4" t="s">
        <v>21</v>
      </c>
      <c r="B6" s="5">
        <v>2</v>
      </c>
      <c r="C6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6759-9111-4E90-90A5-4CF82F786B4A}">
  <dimension ref="A1:G5"/>
  <sheetViews>
    <sheetView workbookViewId="0">
      <selection sqref="A1:XFD5"/>
    </sheetView>
  </sheetViews>
  <sheetFormatPr defaultRowHeight="14.4" x14ac:dyDescent="0.3"/>
  <cols>
    <col min="2" max="2" width="23.21875" customWidth="1"/>
    <col min="3" max="3" width="21.77734375" customWidth="1"/>
    <col min="6" max="6" width="9" customWidth="1"/>
  </cols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</v>
      </c>
      <c r="B2" s="1">
        <v>44427.698414351849</v>
      </c>
      <c r="C2" s="1">
        <v>44429.375</v>
      </c>
      <c r="D2" t="s">
        <v>11</v>
      </c>
      <c r="E2" t="s">
        <v>13</v>
      </c>
      <c r="F2">
        <f>IF(INT(B2)=INT(C2),1,0)</f>
        <v>0</v>
      </c>
      <c r="G2">
        <f>IF(AND(INT(B2)=INT(C2),HOUR(B2)=HOUR(C2)),1,0)</f>
        <v>0</v>
      </c>
    </row>
    <row r="3" spans="1:7" x14ac:dyDescent="0.3">
      <c r="A3" t="s">
        <v>2</v>
      </c>
      <c r="B3" s="1">
        <v>44427.698414351849</v>
      </c>
      <c r="C3" s="1">
        <v>44429.717881944445</v>
      </c>
      <c r="D3" t="s">
        <v>12</v>
      </c>
      <c r="E3" t="s">
        <v>14</v>
      </c>
      <c r="F3">
        <f t="shared" ref="F3:F5" si="0">IF(INT(B3)=INT(C3),1,0)</f>
        <v>0</v>
      </c>
      <c r="G3">
        <f t="shared" ref="G3:G5" si="1">IF(AND(INT(B3)=INT(C3),HOUR(B3)=HOUR(C3)),1,0)</f>
        <v>0</v>
      </c>
    </row>
    <row r="4" spans="1:7" x14ac:dyDescent="0.3">
      <c r="A4" t="s">
        <v>3</v>
      </c>
      <c r="B4" s="1">
        <v>44429.464837962965</v>
      </c>
      <c r="C4" s="1">
        <v>44429.717881944445</v>
      </c>
      <c r="D4" t="s">
        <v>11</v>
      </c>
      <c r="E4" t="s">
        <v>15</v>
      </c>
      <c r="F4">
        <f t="shared" si="0"/>
        <v>1</v>
      </c>
      <c r="G4">
        <f t="shared" si="1"/>
        <v>0</v>
      </c>
    </row>
    <row r="5" spans="1:7" x14ac:dyDescent="0.3">
      <c r="A5" t="s">
        <v>4</v>
      </c>
      <c r="B5" s="1">
        <v>44429.375</v>
      </c>
      <c r="C5" s="2">
        <v>44429.4375</v>
      </c>
      <c r="D5" t="s">
        <v>12</v>
      </c>
      <c r="E5" t="s">
        <v>16</v>
      </c>
      <c r="F5">
        <f t="shared" si="0"/>
        <v>1</v>
      </c>
      <c r="G5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B9D1-0D1C-4FBC-8654-7BB719377DD9}">
  <dimension ref="A1:D5"/>
  <sheetViews>
    <sheetView workbookViewId="0">
      <selection activeCell="E8" sqref="E8"/>
    </sheetView>
  </sheetViews>
  <sheetFormatPr defaultRowHeight="14.4" x14ac:dyDescent="0.3"/>
  <cols>
    <col min="2" max="2" width="12.5546875" customWidth="1"/>
    <col min="3" max="3" width="15.77734375" customWidth="1"/>
    <col min="4" max="4" width="17.77734375" customWidth="1"/>
  </cols>
  <sheetData>
    <row r="1" spans="1:4" x14ac:dyDescent="0.3">
      <c r="A1" t="s">
        <v>8</v>
      </c>
      <c r="B1" t="s">
        <v>17</v>
      </c>
      <c r="C1" t="s">
        <v>18</v>
      </c>
      <c r="D1" t="s">
        <v>19</v>
      </c>
    </row>
    <row r="2" spans="1:4" x14ac:dyDescent="0.3">
      <c r="A2" t="s">
        <v>13</v>
      </c>
      <c r="B2" s="1">
        <v>44429.560277777775</v>
      </c>
      <c r="C2">
        <v>3</v>
      </c>
      <c r="D2" s="1">
        <f>INDEX(ticket!B:B, MATCH(A2, ticket!E:E,0))</f>
        <v>44427.698414351849</v>
      </c>
    </row>
    <row r="3" spans="1:4" x14ac:dyDescent="0.3">
      <c r="A3" t="s">
        <v>14</v>
      </c>
      <c r="B3" s="1">
        <v>44429.75</v>
      </c>
      <c r="C3">
        <v>4</v>
      </c>
      <c r="D3" s="1">
        <f>INDEX(ticket!B:B, MATCH(A3, ticket!E:E,0))</f>
        <v>44427.698414351849</v>
      </c>
    </row>
    <row r="4" spans="1:4" x14ac:dyDescent="0.3">
      <c r="A4" t="s">
        <v>15</v>
      </c>
      <c r="B4" s="1">
        <v>44429.458333333336</v>
      </c>
      <c r="C4">
        <v>5</v>
      </c>
      <c r="D4" s="1">
        <f>INDEX(ticket!B:B, MATCH(A4, ticket!E:E,0))</f>
        <v>44429.464837962965</v>
      </c>
    </row>
    <row r="5" spans="1:4" x14ac:dyDescent="0.3">
      <c r="A5" t="s">
        <v>16</v>
      </c>
      <c r="B5" s="1">
        <v>44429.395833333336</v>
      </c>
      <c r="C5">
        <v>2</v>
      </c>
      <c r="D5" s="1">
        <f>INDEX(ticket!B:B, MATCH(A5, ticket!E:E,0))</f>
        <v>44429.375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Supraja Annam</dc:creator>
  <cp:lastModifiedBy>Sai Supraja Annam</cp:lastModifiedBy>
  <dcterms:created xsi:type="dcterms:W3CDTF">2026-04-09T07:20:03Z</dcterms:created>
  <dcterms:modified xsi:type="dcterms:W3CDTF">2026-04-09T09:10:22Z</dcterms:modified>
</cp:coreProperties>
</file>